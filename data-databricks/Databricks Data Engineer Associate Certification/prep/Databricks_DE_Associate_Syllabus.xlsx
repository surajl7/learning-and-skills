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yllabus Detail" sheetId="2" state="visible" r:id="rId4"/>
    <sheet name="Study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<sst xmlns="http://schemas.openxmlformats.org/spreadsheetml/2006/main" count="195" uniqueCount="93">
  <si>
    <t xml:space="preserve">Databricks Data Engineer Associate — Exam Syllabus</t>
  </si>
  <si>
    <t xml:space="preserve">Exam Domain Breakdown &amp; Study Plan</t>
  </si>
  <si>
    <t xml:space="preserve">#</t>
  </si>
  <si>
    <t xml:space="preserve">Exam Domain</t>
  </si>
  <si>
    <t xml:space="preserve">Weight (Low)</t>
  </si>
  <si>
    <t xml:space="preserve">Weight (High)</t>
  </si>
  <si>
    <t xml:space="preserve">Focus Area</t>
  </si>
  <si>
    <t xml:space="preserve">Databricks Intelligence Platform</t>
  </si>
  <si>
    <t xml:space="preserve">Architecture, Lakehouse, Workspaces</t>
  </si>
  <si>
    <t xml:space="preserve">Development and Ingestion</t>
  </si>
  <si>
    <t xml:space="preserve">Auto Loader, Spark config, ETL tasks</t>
  </si>
  <si>
    <t xml:space="preserve">Data Processing &amp; Transformations</t>
  </si>
  <si>
    <t xml:space="preserve">Spark SQL, PySpark, Delta Lake, Streaming</t>
  </si>
  <si>
    <t xml:space="preserve">Productionizing Data Pipelines</t>
  </si>
  <si>
    <t xml:space="preserve">DLT, orchestration, debugging</t>
  </si>
  <si>
    <t xml:space="preserve">Data Governance &amp; Quality</t>
  </si>
  <si>
    <t xml:space="preserve">Unity Catalog, data quality</t>
  </si>
  <si>
    <t xml:space="preserve">Total (midpoint)</t>
  </si>
  <si>
    <t xml:space="preserve">Detailed Syllabus — Topics &amp; Sub-topics</t>
  </si>
  <si>
    <t xml:space="preserve">Section</t>
  </si>
  <si>
    <t xml:space="preserve">Topic</t>
  </si>
  <si>
    <t xml:space="preserve">Sub-topic / Detail</t>
  </si>
  <si>
    <t xml:space="preserve">Key Concepts</t>
  </si>
  <si>
    <t xml:space="preserve">Priority</t>
  </si>
  <si>
    <t xml:space="preserve">1. Data Engineering with Databricks</t>
  </si>
  <si>
    <t xml:space="preserve">Databricks UI</t>
  </si>
  <si>
    <t xml:space="preserve">Notebooks and Repos</t>
  </si>
  <si>
    <t xml:space="preserve">Workspace navigation, Git integration, notebook magic commands</t>
  </si>
  <si>
    <t xml:space="preserve">Medium</t>
  </si>
  <si>
    <t xml:space="preserve">Clusters</t>
  </si>
  <si>
    <t xml:space="preserve">All-purpose vs. Job clusters</t>
  </si>
  <si>
    <t xml:space="preserve">Cluster types, configuration, autoscaling, cost optimization</t>
  </si>
  <si>
    <t xml:space="preserve">High</t>
  </si>
  <si>
    <t xml:space="preserve">2. Data Ingestion &amp; Management</t>
  </si>
  <si>
    <t xml:space="preserve">Auto Loader</t>
  </si>
  <si>
    <t xml:space="preserve">Incremental ingestion with cloudFiles</t>
  </si>
  <si>
    <t xml:space="preserve">Schema inference, schema evolution, file notification mode</t>
  </si>
  <si>
    <t xml:space="preserve">Delta Lake</t>
  </si>
  <si>
    <t xml:space="preserve">Tables, Views, Databases</t>
  </si>
  <si>
    <t xml:space="preserve">Creating Delta tables, managed vs external, views, schemas</t>
  </si>
  <si>
    <t xml:space="preserve">CDC &amp; SCD</t>
  </si>
  <si>
    <t xml:space="preserve">Change Data Capture</t>
  </si>
  <si>
    <t xml:space="preserve">APPLY CHANGES INTO, SCD Type 1 and Type 2 patterns</t>
  </si>
  <si>
    <t xml:space="preserve">3. Data Transformation</t>
  </si>
  <si>
    <t xml:space="preserve">Spark SQL</t>
  </si>
  <si>
    <t xml:space="preserve">SQL for data manipulation</t>
  </si>
  <si>
    <t xml:space="preserve">SELECT, JOIN, window functions, CTEs, aggregations</t>
  </si>
  <si>
    <t xml:space="preserve">PySpark</t>
  </si>
  <si>
    <t xml:space="preserve">DataFrame API</t>
  </si>
  <si>
    <t xml:space="preserve">Transformations, actions, UDFs, column expressions</t>
  </si>
  <si>
    <t xml:space="preserve">Delta operations</t>
  </si>
  <si>
    <t xml:space="preserve">MERGE, UPDATE, DELETE</t>
  </si>
  <si>
    <t xml:space="preserve">Upserts with MERGE, conditional updates, time travel</t>
  </si>
  <si>
    <t xml:space="preserve">Ingestion statements</t>
  </si>
  <si>
    <t xml:space="preserve">COPY INTO, INSERT</t>
  </si>
  <si>
    <t xml:space="preserve">Idempotent loads, INSERT OVERWRITE vs INTO</t>
  </si>
  <si>
    <t xml:space="preserve">File formats</t>
  </si>
  <si>
    <t xml:space="preserve">JSON, CSV, Parquet</t>
  </si>
  <si>
    <t xml:space="preserve">Reading/writing options, schema handling, compression</t>
  </si>
  <si>
    <t xml:space="preserve">Structured Streaming</t>
  </si>
  <si>
    <t xml:space="preserve">Stream processing</t>
  </si>
  <si>
    <t xml:space="preserve">readStream, writeStream, triggers, checkpoints, watermarks</t>
  </si>
  <si>
    <t xml:space="preserve">4. Delta Live Tables</t>
  </si>
  <si>
    <t xml:space="preserve">Multi-hop architecture</t>
  </si>
  <si>
    <t xml:space="preserve">Bronze, Silver, Gold layers</t>
  </si>
  <si>
    <t xml:space="preserve">Medallion pattern, layer responsibilities, lineage</t>
  </si>
  <si>
    <t xml:space="preserve">DLT objects</t>
  </si>
  <si>
    <t xml:space="preserve">Streaming Tables &amp; Materialized Views</t>
  </si>
  <si>
    <t xml:space="preserve">@dlt.table, @dlt.view, expectations, LIVE keyword</t>
  </si>
  <si>
    <t xml:space="preserve">DLT operations</t>
  </si>
  <si>
    <t xml:space="preserve">Troubleshooting &amp; monitoring</t>
  </si>
  <si>
    <t xml:space="preserve">Event logs, pipeline modes, development vs production</t>
  </si>
  <si>
    <t xml:space="preserve">5. Productionalization</t>
  </si>
  <si>
    <t xml:space="preserve">Databricks Jobs</t>
  </si>
  <si>
    <t xml:space="preserve">Orchestration</t>
  </si>
  <si>
    <t xml:space="preserve">Multi-task jobs, dependencies, retries, notifications</t>
  </si>
  <si>
    <t xml:space="preserve">Lakeflow Jobs</t>
  </si>
  <si>
    <t xml:space="preserve">Scheduling</t>
  </si>
  <si>
    <t xml:space="preserve">Cron schedules, triggers, parameters, job clusters</t>
  </si>
  <si>
    <t xml:space="preserve">6. Governance &amp; Security</t>
  </si>
  <si>
    <t xml:space="preserve">Unity Catalog</t>
  </si>
  <si>
    <t xml:space="preserve">Access controls</t>
  </si>
  <si>
    <t xml:space="preserve">GRANT/REVOKE, three-level namespace (catalog.schema.table)</t>
  </si>
  <si>
    <t xml:space="preserve">Permissions &amp; Lineage</t>
  </si>
  <si>
    <t xml:space="preserve">Table permissions, lineage</t>
  </si>
  <si>
    <t xml:space="preserve">Object ownership, dynamic views, column-level lineage</t>
  </si>
  <si>
    <t xml:space="preserve">Study Progress Tracker</t>
  </si>
  <si>
    <t xml:space="preserve">Overall Progress:</t>
  </si>
  <si>
    <t xml:space="preserve">Status</t>
  </si>
  <si>
    <t xml:space="preserve">Hours Spent</t>
  </si>
  <si>
    <t xml:space="preserve">Notes</t>
  </si>
  <si>
    <t xml:space="preserve">Not Started</t>
  </si>
  <si>
    <t xml:space="preserve">Total Hours: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</si>
</sst>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%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0061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DDEBF7"/>
        <bgColor rgb="FFF2F2F2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D9D9D9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Domain Weight (High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Overview!D4</c:f>
              <c:strCache>
                <c:ptCount val="1"/>
                <c:pt idx="0">
                  <c:v>Weight (High)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Overview!$B$5:$B$9</c:f>
              <c:strCache>
                <c:ptCount val="5"/>
                <c:pt idx="0">
                  <c:v>Databricks Intelligence Platform</c:v>
                </c:pt>
                <c:pt idx="1">
                  <c:v>Development and Ingestion</c:v>
                </c:pt>
                <c:pt idx="2">
                  <c:v>Data Processing &amp; Transformations</c:v>
                </c:pt>
                <c:pt idx="3">
                  <c:v>Productionizing Data Pipelines</c:v>
                </c:pt>
                <c:pt idx="4">
                  <c:v>Data Governance &amp; Quality</c:v>
                </c:pt>
              </c:strCache>
            </c:strRef>
          </c:cat>
          <c:val>
            <c:numRef>
              <c:f>Overview!$D$5:$D$9</c:f>
              <c:numCache>
                <c:formatCode>0%</c:formatCode>
                <c:ptCount val="5"/>
                <c:pt idx="0">
                  <c:v>0.24</c:v>
                </c:pt>
                <c:pt idx="1">
                  <c:v>0.3</c:v>
                </c:pt>
                <c:pt idx="2">
                  <c:v>0.31</c:v>
                </c:pt>
                <c:pt idx="3">
                  <c:v>0.18</c:v>
                </c:pt>
                <c:pt idx="4">
                  <c:v>0.11</c:v>
                </c:pt>
              </c:numCache>
            </c:numRef>
          </c:val>
        </c:ser>
        <c:gapWidth val="150"/>
        <c:overlap val="0"/>
        <c:axId val="69841835"/>
        <c:axId val="13766042"/>
      </c:barChart>
      <c:catAx>
        <c:axId val="698418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66042"/>
        <c:crosses val="autoZero"/>
        <c:auto val="1"/>
        <c:lblAlgn val="ctr"/>
        <c:lblOffset val="100"/>
        <c:noMultiLvlLbl val="0"/>
      </c:catAx>
      <c:valAx>
        <c:axId val="13766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41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4</xdr:col>
      <xdr:colOff>1404720</xdr:colOff>
      <xdr:row>29</xdr:row>
      <xdr:rowOff>1080</xdr:rowOff>
    </xdr:to>
    <xdr:graphicFrame>
      <xdr:nvGraphicFramePr>
        <xdr:cNvPr id="0" name="Chart 1"/>
        <xdr:cNvGraphicFramePr/>
      </xdr:nvGraphicFramePr>
      <xdr:xfrm>
        <a:off x="0" y="3514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5.5" hidden="false" customHeight="true" outlineLevel="0" collapsed="false">
      <c r="A5" s="4" t="n">
        <v>1</v>
      </c>
      <c r="B5" s="5" t="s">
        <v>7</v>
      </c>
      <c r="C5" s="6" t="n">
        <v>0.1</v>
      </c>
      <c r="D5" s="6" t="n">
        <v>0.24</v>
      </c>
      <c r="E5" s="7" t="s">
        <v>8</v>
      </c>
    </row>
    <row r="6" customFormat="false" ht="25.5" hidden="false" customHeight="true" outlineLevel="0" collapsed="false">
      <c r="A6" s="8" t="n">
        <v>2</v>
      </c>
      <c r="B6" s="9" t="s">
        <v>9</v>
      </c>
      <c r="C6" s="10" t="n">
        <v>0.3</v>
      </c>
      <c r="D6" s="10" t="n">
        <v>0.3</v>
      </c>
      <c r="E6" s="11" t="s">
        <v>10</v>
      </c>
    </row>
    <row r="7" customFormat="false" ht="25.5" hidden="false" customHeight="true" outlineLevel="0" collapsed="false">
      <c r="A7" s="4" t="n">
        <v>3</v>
      </c>
      <c r="B7" s="5" t="s">
        <v>11</v>
      </c>
      <c r="C7" s="6" t="n">
        <v>0.31</v>
      </c>
      <c r="D7" s="6" t="n">
        <v>0.31</v>
      </c>
      <c r="E7" s="7" t="s">
        <v>12</v>
      </c>
    </row>
    <row r="8" customFormat="false" ht="25.5" hidden="false" customHeight="true" outlineLevel="0" collapsed="false">
      <c r="A8" s="8" t="n">
        <v>4</v>
      </c>
      <c r="B8" s="9" t="s">
        <v>13</v>
      </c>
      <c r="C8" s="10" t="n">
        <v>0.18</v>
      </c>
      <c r="D8" s="10" t="n">
        <v>0.18</v>
      </c>
      <c r="E8" s="11" t="s">
        <v>14</v>
      </c>
    </row>
    <row r="9" customFormat="false" ht="25.5" hidden="false" customHeight="true" outlineLevel="0" collapsed="false">
      <c r="A9" s="4" t="n">
        <v>5</v>
      </c>
      <c r="B9" s="5" t="s">
        <v>15</v>
      </c>
      <c r="C9" s="6" t="n">
        <v>0.11</v>
      </c>
      <c r="D9" s="6" t="n">
        <v>0.11</v>
      </c>
      <c r="E9" s="7" t="s">
        <v>16</v>
      </c>
    </row>
    <row r="10" customFormat="false" ht="15" hidden="false" customHeight="false" outlineLevel="0" collapsed="false">
      <c r="A10" s="12"/>
      <c r="B10" s="13" t="s">
        <v>17</v>
      </c>
      <c r="C10" s="14" t="n">
        <f aca="false">SUM(C5:C9)</f>
        <v>1</v>
      </c>
      <c r="D10" s="14" t="n">
        <f aca="false">SUM(D5:D9)</f>
        <v>1.14</v>
      </c>
      <c r="E10" s="12"/>
    </row>
  </sheetData>
  <mergeCells count="2">
    <mergeCell ref="A1:E1"/>
    <mergeCell ref="A2:E2"/>
  </mergeCells>
  <conditionalFormatting sqref="D5:D9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{32F82DB0-7AEE-4170-882E-B11496B7CADD}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F82DB0-7AEE-4170-882E-B11496B7CADD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D5:D9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5" t="s">
        <v>18</v>
      </c>
      <c r="B1" s="15"/>
      <c r="C1" s="15"/>
      <c r="D1" s="15"/>
      <c r="E1" s="15"/>
    </row>
    <row r="3" customFormat="false" ht="31.5" hidden="false" customHeight="tru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37.5" hidden="false" customHeight="true" outlineLevel="0" collapsed="false">
      <c r="A4" s="13" t="s">
        <v>24</v>
      </c>
      <c r="B4" s="5" t="s">
        <v>25</v>
      </c>
      <c r="C4" s="7" t="s">
        <v>26</v>
      </c>
      <c r="D4" s="7" t="s">
        <v>27</v>
      </c>
      <c r="E4" s="16" t="s">
        <v>28</v>
      </c>
    </row>
    <row r="5" customFormat="false" ht="37.5" hidden="false" customHeight="true" outlineLevel="0" collapsed="false">
      <c r="A5" s="7" t="s">
        <v>24</v>
      </c>
      <c r="B5" s="5" t="s">
        <v>29</v>
      </c>
      <c r="C5" s="7" t="s">
        <v>30</v>
      </c>
      <c r="D5" s="7" t="s">
        <v>31</v>
      </c>
      <c r="E5" s="17" t="s">
        <v>32</v>
      </c>
    </row>
    <row r="6" customFormat="false" ht="37.5" hidden="false" customHeight="true" outlineLevel="0" collapsed="false">
      <c r="A6" s="13" t="s">
        <v>33</v>
      </c>
      <c r="B6" s="5" t="s">
        <v>34</v>
      </c>
      <c r="C6" s="7" t="s">
        <v>35</v>
      </c>
      <c r="D6" s="7" t="s">
        <v>36</v>
      </c>
      <c r="E6" s="17" t="s">
        <v>32</v>
      </c>
    </row>
    <row r="7" customFormat="false" ht="37.5" hidden="false" customHeight="true" outlineLevel="0" collapsed="false">
      <c r="A7" s="7" t="s">
        <v>33</v>
      </c>
      <c r="B7" s="5" t="s">
        <v>37</v>
      </c>
      <c r="C7" s="7" t="s">
        <v>38</v>
      </c>
      <c r="D7" s="7" t="s">
        <v>39</v>
      </c>
      <c r="E7" s="17" t="s">
        <v>32</v>
      </c>
    </row>
    <row r="8" customFormat="false" ht="37.5" hidden="false" customHeight="true" outlineLevel="0" collapsed="false">
      <c r="A8" s="7" t="s">
        <v>33</v>
      </c>
      <c r="B8" s="5" t="s">
        <v>40</v>
      </c>
      <c r="C8" s="7" t="s">
        <v>41</v>
      </c>
      <c r="D8" s="7" t="s">
        <v>42</v>
      </c>
      <c r="E8" s="17" t="s">
        <v>32</v>
      </c>
    </row>
    <row r="9" customFormat="false" ht="37.5" hidden="false" customHeight="true" outlineLevel="0" collapsed="false">
      <c r="A9" s="13" t="s">
        <v>43</v>
      </c>
      <c r="B9" s="5" t="s">
        <v>44</v>
      </c>
      <c r="C9" s="7" t="s">
        <v>45</v>
      </c>
      <c r="D9" s="7" t="s">
        <v>46</v>
      </c>
      <c r="E9" s="17" t="s">
        <v>32</v>
      </c>
    </row>
    <row r="10" customFormat="false" ht="37.5" hidden="false" customHeight="true" outlineLevel="0" collapsed="false">
      <c r="A10" s="7" t="s">
        <v>43</v>
      </c>
      <c r="B10" s="5" t="s">
        <v>47</v>
      </c>
      <c r="C10" s="7" t="s">
        <v>48</v>
      </c>
      <c r="D10" s="7" t="s">
        <v>49</v>
      </c>
      <c r="E10" s="17" t="s">
        <v>32</v>
      </c>
    </row>
    <row r="11" customFormat="false" ht="37.5" hidden="false" customHeight="true" outlineLevel="0" collapsed="false">
      <c r="A11" s="7" t="s">
        <v>43</v>
      </c>
      <c r="B11" s="5" t="s">
        <v>50</v>
      </c>
      <c r="C11" s="7" t="s">
        <v>51</v>
      </c>
      <c r="D11" s="7" t="s">
        <v>52</v>
      </c>
      <c r="E11" s="17" t="s">
        <v>32</v>
      </c>
    </row>
    <row r="12" customFormat="false" ht="37.5" hidden="false" customHeight="true" outlineLevel="0" collapsed="false">
      <c r="A12" s="7" t="s">
        <v>43</v>
      </c>
      <c r="B12" s="5" t="s">
        <v>53</v>
      </c>
      <c r="C12" s="7" t="s">
        <v>54</v>
      </c>
      <c r="D12" s="7" t="s">
        <v>55</v>
      </c>
      <c r="E12" s="16" t="s">
        <v>28</v>
      </c>
    </row>
    <row r="13" customFormat="false" ht="37.5" hidden="false" customHeight="true" outlineLevel="0" collapsed="false">
      <c r="A13" s="7" t="s">
        <v>43</v>
      </c>
      <c r="B13" s="5" t="s">
        <v>56</v>
      </c>
      <c r="C13" s="7" t="s">
        <v>57</v>
      </c>
      <c r="D13" s="7" t="s">
        <v>58</v>
      </c>
      <c r="E13" s="16" t="s">
        <v>28</v>
      </c>
    </row>
    <row r="14" customFormat="false" ht="37.5" hidden="false" customHeight="true" outlineLevel="0" collapsed="false">
      <c r="A14" s="7" t="s">
        <v>43</v>
      </c>
      <c r="B14" s="5" t="s">
        <v>59</v>
      </c>
      <c r="C14" s="7" t="s">
        <v>60</v>
      </c>
      <c r="D14" s="7" t="s">
        <v>61</v>
      </c>
      <c r="E14" s="17" t="s">
        <v>32</v>
      </c>
    </row>
    <row r="15" customFormat="false" ht="37.5" hidden="false" customHeight="true" outlineLevel="0" collapsed="false">
      <c r="A15" s="13" t="s">
        <v>62</v>
      </c>
      <c r="B15" s="5" t="s">
        <v>63</v>
      </c>
      <c r="C15" s="7" t="s">
        <v>64</v>
      </c>
      <c r="D15" s="7" t="s">
        <v>65</v>
      </c>
      <c r="E15" s="17" t="s">
        <v>32</v>
      </c>
    </row>
    <row r="16" customFormat="false" ht="37.5" hidden="false" customHeight="true" outlineLevel="0" collapsed="false">
      <c r="A16" s="7" t="s">
        <v>62</v>
      </c>
      <c r="B16" s="5" t="s">
        <v>66</v>
      </c>
      <c r="C16" s="7" t="s">
        <v>67</v>
      </c>
      <c r="D16" s="7" t="s">
        <v>68</v>
      </c>
      <c r="E16" s="17" t="s">
        <v>32</v>
      </c>
    </row>
    <row r="17" customFormat="false" ht="37.5" hidden="false" customHeight="true" outlineLevel="0" collapsed="false">
      <c r="A17" s="7" t="s">
        <v>62</v>
      </c>
      <c r="B17" s="5" t="s">
        <v>69</v>
      </c>
      <c r="C17" s="7" t="s">
        <v>70</v>
      </c>
      <c r="D17" s="7" t="s">
        <v>71</v>
      </c>
      <c r="E17" s="16" t="s">
        <v>28</v>
      </c>
    </row>
    <row r="18" customFormat="false" ht="37.5" hidden="false" customHeight="true" outlineLevel="0" collapsed="false">
      <c r="A18" s="13" t="s">
        <v>72</v>
      </c>
      <c r="B18" s="5" t="s">
        <v>73</v>
      </c>
      <c r="C18" s="7" t="s">
        <v>74</v>
      </c>
      <c r="D18" s="7" t="s">
        <v>75</v>
      </c>
      <c r="E18" s="17" t="s">
        <v>32</v>
      </c>
    </row>
    <row r="19" customFormat="false" ht="37.5" hidden="false" customHeight="true" outlineLevel="0" collapsed="false">
      <c r="A19" s="7" t="s">
        <v>72</v>
      </c>
      <c r="B19" s="5" t="s">
        <v>76</v>
      </c>
      <c r="C19" s="7" t="s">
        <v>77</v>
      </c>
      <c r="D19" s="7" t="s">
        <v>78</v>
      </c>
      <c r="E19" s="16" t="s">
        <v>28</v>
      </c>
    </row>
    <row r="20" customFormat="false" ht="37.5" hidden="false" customHeight="true" outlineLevel="0" collapsed="false">
      <c r="A20" s="13" t="s">
        <v>79</v>
      </c>
      <c r="B20" s="5" t="s">
        <v>80</v>
      </c>
      <c r="C20" s="7" t="s">
        <v>81</v>
      </c>
      <c r="D20" s="7" t="s">
        <v>82</v>
      </c>
      <c r="E20" s="17" t="s">
        <v>32</v>
      </c>
    </row>
    <row r="21" customFormat="false" ht="37.5" hidden="false" customHeight="true" outlineLevel="0" collapsed="false">
      <c r="A21" s="7" t="s">
        <v>79</v>
      </c>
      <c r="B21" s="5" t="s">
        <v>83</v>
      </c>
      <c r="C21" s="7" t="s">
        <v>84</v>
      </c>
      <c r="D21" s="7" t="s">
        <v>85</v>
      </c>
      <c r="E21" s="16" t="s">
        <v>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15" t="s">
        <v>86</v>
      </c>
      <c r="B1" s="15"/>
      <c r="C1" s="15"/>
      <c r="D1" s="15"/>
      <c r="E1" s="15"/>
      <c r="F1" s="15"/>
    </row>
    <row r="3" customFormat="false" ht="25.5" hidden="false" customHeight="true" outlineLevel="0" collapsed="false">
      <c r="A3" s="18" t="s">
        <v>87</v>
      </c>
      <c r="B3" s="18"/>
      <c r="C3" s="19" t="n">
        <f aca="false">IFERROR(COUNTIF(D6:D23,"Done")/COUNTA(B6:B23),0)</f>
        <v>0</v>
      </c>
    </row>
    <row r="5" customFormat="false" ht="30" hidden="false" customHeight="true" outlineLevel="0" collapsed="false">
      <c r="A5" s="3" t="s">
        <v>19</v>
      </c>
      <c r="B5" s="3" t="s">
        <v>20</v>
      </c>
      <c r="C5" s="3" t="s">
        <v>23</v>
      </c>
      <c r="D5" s="3" t="s">
        <v>88</v>
      </c>
      <c r="E5" s="3" t="s">
        <v>89</v>
      </c>
      <c r="F5" s="3" t="s">
        <v>90</v>
      </c>
    </row>
    <row r="6" customFormat="false" ht="25.5" hidden="false" customHeight="true" outlineLevel="0" collapsed="false">
      <c r="A6" s="7" t="s">
        <v>24</v>
      </c>
      <c r="B6" s="5" t="s">
        <v>25</v>
      </c>
      <c r="C6" s="16" t="s">
        <v>28</v>
      </c>
      <c r="D6" s="4" t="s">
        <v>91</v>
      </c>
      <c r="E6" s="20" t="n">
        <v>0</v>
      </c>
      <c r="F6" s="7"/>
    </row>
    <row r="7" customFormat="false" ht="25.5" hidden="false" customHeight="true" outlineLevel="0" collapsed="false">
      <c r="A7" s="7" t="s">
        <v>24</v>
      </c>
      <c r="B7" s="5" t="s">
        <v>29</v>
      </c>
      <c r="C7" s="17" t="s">
        <v>32</v>
      </c>
      <c r="D7" s="4" t="s">
        <v>91</v>
      </c>
      <c r="E7" s="20" t="n">
        <v>0</v>
      </c>
      <c r="F7" s="7"/>
    </row>
    <row r="8" customFormat="false" ht="25.5" hidden="false" customHeight="true" outlineLevel="0" collapsed="false">
      <c r="A8" s="7" t="s">
        <v>33</v>
      </c>
      <c r="B8" s="5" t="s">
        <v>34</v>
      </c>
      <c r="C8" s="17" t="s">
        <v>32</v>
      </c>
      <c r="D8" s="4" t="s">
        <v>91</v>
      </c>
      <c r="E8" s="20" t="n">
        <v>0</v>
      </c>
      <c r="F8" s="7"/>
    </row>
    <row r="9" customFormat="false" ht="25.5" hidden="false" customHeight="true" outlineLevel="0" collapsed="false">
      <c r="A9" s="7" t="s">
        <v>33</v>
      </c>
      <c r="B9" s="5" t="s">
        <v>37</v>
      </c>
      <c r="C9" s="17" t="s">
        <v>32</v>
      </c>
      <c r="D9" s="4" t="s">
        <v>91</v>
      </c>
      <c r="E9" s="20" t="n">
        <v>0</v>
      </c>
      <c r="F9" s="7"/>
    </row>
    <row r="10" customFormat="false" ht="25.5" hidden="false" customHeight="true" outlineLevel="0" collapsed="false">
      <c r="A10" s="7" t="s">
        <v>33</v>
      </c>
      <c r="B10" s="5" t="s">
        <v>40</v>
      </c>
      <c r="C10" s="17" t="s">
        <v>32</v>
      </c>
      <c r="D10" s="4" t="s">
        <v>91</v>
      </c>
      <c r="E10" s="20" t="n">
        <v>0</v>
      </c>
      <c r="F10" s="7"/>
    </row>
    <row r="11" customFormat="false" ht="25.5" hidden="false" customHeight="true" outlineLevel="0" collapsed="false">
      <c r="A11" s="7" t="s">
        <v>43</v>
      </c>
      <c r="B11" s="5" t="s">
        <v>44</v>
      </c>
      <c r="C11" s="17" t="s">
        <v>32</v>
      </c>
      <c r="D11" s="4" t="s">
        <v>91</v>
      </c>
      <c r="E11" s="20" t="n">
        <v>0</v>
      </c>
      <c r="F11" s="7"/>
    </row>
    <row r="12" customFormat="false" ht="25.5" hidden="false" customHeight="true" outlineLevel="0" collapsed="false">
      <c r="A12" s="7" t="s">
        <v>43</v>
      </c>
      <c r="B12" s="5" t="s">
        <v>47</v>
      </c>
      <c r="C12" s="17" t="s">
        <v>32</v>
      </c>
      <c r="D12" s="4" t="s">
        <v>91</v>
      </c>
      <c r="E12" s="20" t="n">
        <v>0</v>
      </c>
      <c r="F12" s="7"/>
    </row>
    <row r="13" customFormat="false" ht="25.5" hidden="false" customHeight="true" outlineLevel="0" collapsed="false">
      <c r="A13" s="7" t="s">
        <v>43</v>
      </c>
      <c r="B13" s="5" t="s">
        <v>50</v>
      </c>
      <c r="C13" s="17" t="s">
        <v>32</v>
      </c>
      <c r="D13" s="4" t="s">
        <v>91</v>
      </c>
      <c r="E13" s="20" t="n">
        <v>0</v>
      </c>
      <c r="F13" s="7"/>
    </row>
    <row r="14" customFormat="false" ht="25.5" hidden="false" customHeight="true" outlineLevel="0" collapsed="false">
      <c r="A14" s="7" t="s">
        <v>43</v>
      </c>
      <c r="B14" s="5" t="s">
        <v>53</v>
      </c>
      <c r="C14" s="16" t="s">
        <v>28</v>
      </c>
      <c r="D14" s="4" t="s">
        <v>91</v>
      </c>
      <c r="E14" s="20" t="n">
        <v>0</v>
      </c>
      <c r="F14" s="7"/>
    </row>
    <row r="15" customFormat="false" ht="25.5" hidden="false" customHeight="true" outlineLevel="0" collapsed="false">
      <c r="A15" s="7" t="s">
        <v>43</v>
      </c>
      <c r="B15" s="5" t="s">
        <v>56</v>
      </c>
      <c r="C15" s="16" t="s">
        <v>28</v>
      </c>
      <c r="D15" s="4" t="s">
        <v>91</v>
      </c>
      <c r="E15" s="20" t="n">
        <v>0</v>
      </c>
      <c r="F15" s="7"/>
    </row>
    <row r="16" customFormat="false" ht="25.5" hidden="false" customHeight="true" outlineLevel="0" collapsed="false">
      <c r="A16" s="7" t="s">
        <v>43</v>
      </c>
      <c r="B16" s="5" t="s">
        <v>59</v>
      </c>
      <c r="C16" s="17" t="s">
        <v>32</v>
      </c>
      <c r="D16" s="4" t="s">
        <v>91</v>
      </c>
      <c r="E16" s="20" t="n">
        <v>0</v>
      </c>
      <c r="F16" s="7"/>
    </row>
    <row r="17" customFormat="false" ht="25.5" hidden="false" customHeight="true" outlineLevel="0" collapsed="false">
      <c r="A17" s="7" t="s">
        <v>62</v>
      </c>
      <c r="B17" s="5" t="s">
        <v>63</v>
      </c>
      <c r="C17" s="17" t="s">
        <v>32</v>
      </c>
      <c r="D17" s="4" t="s">
        <v>91</v>
      </c>
      <c r="E17" s="20" t="n">
        <v>0</v>
      </c>
      <c r="F17" s="7"/>
    </row>
    <row r="18" customFormat="false" ht="25.5" hidden="false" customHeight="true" outlineLevel="0" collapsed="false">
      <c r="A18" s="7" t="s">
        <v>62</v>
      </c>
      <c r="B18" s="5" t="s">
        <v>66</v>
      </c>
      <c r="C18" s="17" t="s">
        <v>32</v>
      </c>
      <c r="D18" s="4" t="s">
        <v>91</v>
      </c>
      <c r="E18" s="20" t="n">
        <v>0</v>
      </c>
      <c r="F18" s="7"/>
    </row>
    <row r="19" customFormat="false" ht="25.5" hidden="false" customHeight="true" outlineLevel="0" collapsed="false">
      <c r="A19" s="7" t="s">
        <v>62</v>
      </c>
      <c r="B19" s="5" t="s">
        <v>69</v>
      </c>
      <c r="C19" s="16" t="s">
        <v>28</v>
      </c>
      <c r="D19" s="4" t="s">
        <v>91</v>
      </c>
      <c r="E19" s="20" t="n">
        <v>0</v>
      </c>
      <c r="F19" s="7"/>
    </row>
    <row r="20" customFormat="false" ht="25.5" hidden="false" customHeight="true" outlineLevel="0" collapsed="false">
      <c r="A20" s="7" t="s">
        <v>72</v>
      </c>
      <c r="B20" s="5" t="s">
        <v>73</v>
      </c>
      <c r="C20" s="17" t="s">
        <v>32</v>
      </c>
      <c r="D20" s="4" t="s">
        <v>91</v>
      </c>
      <c r="E20" s="20" t="n">
        <v>0</v>
      </c>
      <c r="F20" s="7"/>
    </row>
    <row r="21" customFormat="false" ht="25.5" hidden="false" customHeight="true" outlineLevel="0" collapsed="false">
      <c r="A21" s="7" t="s">
        <v>72</v>
      </c>
      <c r="B21" s="5" t="s">
        <v>76</v>
      </c>
      <c r="C21" s="16" t="s">
        <v>28</v>
      </c>
      <c r="D21" s="4" t="s">
        <v>91</v>
      </c>
      <c r="E21" s="20" t="n">
        <v>0</v>
      </c>
      <c r="F21" s="7"/>
    </row>
    <row r="22" customFormat="false" ht="25.5" hidden="false" customHeight="true" outlineLevel="0" collapsed="false">
      <c r="A22" s="7" t="s">
        <v>79</v>
      </c>
      <c r="B22" s="5" t="s">
        <v>80</v>
      </c>
      <c r="C22" s="17" t="s">
        <v>32</v>
      </c>
      <c r="D22" s="4" t="s">
        <v>91</v>
      </c>
      <c r="E22" s="20" t="n">
        <v>0</v>
      </c>
      <c r="F22" s="7"/>
    </row>
    <row r="23" customFormat="false" ht="25.5" hidden="false" customHeight="true" outlineLevel="0" collapsed="false">
      <c r="A23" s="7" t="s">
        <v>79</v>
      </c>
      <c r="B23" s="5" t="s">
        <v>83</v>
      </c>
      <c r="C23" s="16" t="s">
        <v>28</v>
      </c>
      <c r="D23" s="4" t="s">
        <v>91</v>
      </c>
      <c r="E23" s="20" t="n">
        <v>0</v>
      </c>
      <c r="F23" s="7"/>
    </row>
    <row r="25" customFormat="false" ht="15" hidden="false" customHeight="false" outlineLevel="0" collapsed="false">
      <c r="D25" s="21" t="s">
        <v>92</v>
      </c>
      <c r="E25" s="22" t="n">
        <f aca="false">SUM(E6:E23)</f>
        <v>0</v>
      </c>
    </row>
  </sheetData>
  <mergeCells count="2">
    <mergeCell ref="A1:F1"/>
    <mergeCell ref="A3:B3"/>
  </mergeCells>
  <conditionalFormatting sqref="D6:D2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"Review"</formula>
    </cfRule>
  </conditionalFormatting>
  <conditionalFormatting sqref="E6:E23">
    <cfRule type="dataBar" priority="5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{6C5A6532-3765-47A8-801D-9E1145101EA5}</x14:id>
        </ext>
      </extLst>
    </cfRule>
  </conditionalFormatting>
  <dataValidations count="1">
    <dataValidation allowBlank="true" errorStyle="stop" operator="between" showDropDown="false" showErrorMessage="false" showInputMessage="false" sqref="D6:D23" type="list">
      <formula1>"Not Started,In Progress,Review,Done"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5A6532-3765-47A8-801D-9E1145101EA5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E6:E23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2026-05-15T02:46:04Z</dcterms:created>
  <dc:creator>openpyxl</dc:creator>
  <dc:description/>
  <dc:language>en-US</dc:language>
  <cp:lastModifiedBy/>
  <dcterms:modified xsi:type="dcterms:W3CDTF">2026-05-15T02:46:11Z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